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jes\Downloads\"/>
    </mc:Choice>
  </mc:AlternateContent>
  <xr:revisionPtr revIDLastSave="0" documentId="13_ncr:1_{D1F43DEB-90F5-477A-A947-07036F6265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_Portfolio" sheetId="1" r:id="rId1"/>
    <sheet name="Monthly_Expenses" sheetId="2" r:id="rId2"/>
    <sheet name="Company_Financia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<sst xmlns="http://schemas.openxmlformats.org/spreadsheetml/2006/main" count="178" uniqueCount="96">
  <si>
    <t>Stock</t>
  </si>
  <si>
    <t>Ticker</t>
  </si>
  <si>
    <t>Sector</t>
  </si>
  <si>
    <t>Shares</t>
  </si>
  <si>
    <t>Buy_Price</t>
  </si>
  <si>
    <t>Current_Price</t>
  </si>
  <si>
    <t>Market_Value</t>
  </si>
  <si>
    <t>P&amp;L</t>
  </si>
  <si>
    <t>Return_%</t>
  </si>
  <si>
    <t>Buy_Date</t>
  </si>
  <si>
    <t>Analyst_Rating</t>
  </si>
  <si>
    <t>Reliance Industries</t>
  </si>
  <si>
    <t>RELIANCE</t>
  </si>
  <si>
    <t>Energy</t>
  </si>
  <si>
    <t>2023-06-15</t>
  </si>
  <si>
    <t>Buy</t>
  </si>
  <si>
    <t>TCS</t>
  </si>
  <si>
    <t>IT</t>
  </si>
  <si>
    <t>2023-08-01</t>
  </si>
  <si>
    <t>Hold</t>
  </si>
  <si>
    <t>HDFC Bank</t>
  </si>
  <si>
    <t>HDFCBANK</t>
  </si>
  <si>
    <t>Banking</t>
  </si>
  <si>
    <t>2023-03-20</t>
  </si>
  <si>
    <t>Infosys</t>
  </si>
  <si>
    <t>INFY</t>
  </si>
  <si>
    <t>2023-11-10</t>
  </si>
  <si>
    <t>Bajaj Finance</t>
  </si>
  <si>
    <t>BAJFINANCE</t>
  </si>
  <si>
    <t>NBFC</t>
  </si>
  <si>
    <t>2024-01-05</t>
  </si>
  <si>
    <t>Wipro</t>
  </si>
  <si>
    <t>WIPRO</t>
  </si>
  <si>
    <t>2023-09-15</t>
  </si>
  <si>
    <t>Sell</t>
  </si>
  <si>
    <t>ITC</t>
  </si>
  <si>
    <t>FMCG</t>
  </si>
  <si>
    <t>2022-12-01</t>
  </si>
  <si>
    <t>Tata Motors</t>
  </si>
  <si>
    <t>TATAMOTORS</t>
  </si>
  <si>
    <t>Auto</t>
  </si>
  <si>
    <t>2023-04-18</t>
  </si>
  <si>
    <t>Asian Paints</t>
  </si>
  <si>
    <t>ASIANPAINT</t>
  </si>
  <si>
    <t>Consumer</t>
  </si>
  <si>
    <t>2023-07-22</t>
  </si>
  <si>
    <t>Zomato</t>
  </si>
  <si>
    <t>ZOMATO</t>
  </si>
  <si>
    <t>2022-08-10</t>
  </si>
  <si>
    <t>Month</t>
  </si>
  <si>
    <t>Category</t>
  </si>
  <si>
    <t>Sub_Category</t>
  </si>
  <si>
    <t>Amount_INR</t>
  </si>
  <si>
    <t>Budget_INR</t>
  </si>
  <si>
    <t>Variance</t>
  </si>
  <si>
    <t>Essential</t>
  </si>
  <si>
    <t>Payment_Mode</t>
  </si>
  <si>
    <t>Jan-2024</t>
  </si>
  <si>
    <t>Housing</t>
  </si>
  <si>
    <t>Rent</t>
  </si>
  <si>
    <t>Yes</t>
  </si>
  <si>
    <t>Bank Transfer</t>
  </si>
  <si>
    <t>Food</t>
  </si>
  <si>
    <t>Groceries</t>
  </si>
  <si>
    <t>UPI</t>
  </si>
  <si>
    <t>Dining Out</t>
  </si>
  <si>
    <t>No</t>
  </si>
  <si>
    <t>Credit Card</t>
  </si>
  <si>
    <t>Transport</t>
  </si>
  <si>
    <t>Fuel</t>
  </si>
  <si>
    <t>Cash</t>
  </si>
  <si>
    <t>Uber/Ola</t>
  </si>
  <si>
    <t>Utilities</t>
  </si>
  <si>
    <t>Electricity</t>
  </si>
  <si>
    <t>Online</t>
  </si>
  <si>
    <t>Entertainment</t>
  </si>
  <si>
    <t>OTT</t>
  </si>
  <si>
    <t>Feb-2024</t>
  </si>
  <si>
    <t>Internet</t>
  </si>
  <si>
    <t>Auto-Debit</t>
  </si>
  <si>
    <t>Mar-2024</t>
  </si>
  <si>
    <t>Gaming</t>
  </si>
  <si>
    <t>Company</t>
  </si>
  <si>
    <t>FY</t>
  </si>
  <si>
    <t>Revenue_Cr</t>
  </si>
  <si>
    <t>EBITDA_Cr</t>
  </si>
  <si>
    <t>Net_Profit_Cr</t>
  </si>
  <si>
    <t>EPS</t>
  </si>
  <si>
    <t>PE_Ratio</t>
  </si>
  <si>
    <t>Market_Cap_Cr</t>
  </si>
  <si>
    <t>Dividend_Yield%</t>
  </si>
  <si>
    <t>ROE%</t>
  </si>
  <si>
    <t>FY22</t>
  </si>
  <si>
    <t>FY23</t>
  </si>
  <si>
    <t>FY24</t>
  </si>
  <si>
    <t>Reliance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</si>
</sst>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145A32"/>
      </patternFill>
    </fill>
    <fill>
      <patternFill patternType="solid">
        <fgColor rgb="FFD5F5E3"/>
      </patternFill>
    </fill>
    <fill>
      <patternFill patternType="solid">
        <fgColor rgb="FF6E2C00"/>
      </patternFill>
    </fill>
    <fill>
      <patternFill patternType="solid">
        <fgColor rgb="FFFAD7A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2" sqref="K2"/>
    </sheetView>
  </sheetViews>
  <sheetFormatPr defaultRowHeight="14.4" x14ac:dyDescent="0.3"/>
  <cols>
    <col min="1" max="1" width="20" customWidth="1"/>
    <col min="2" max="2" width="14" customWidth="1"/>
    <col min="3" max="3" width="12" customWidth="1"/>
    <col min="4" max="4" width="8" customWidth="1"/>
    <col min="5" max="5" width="12" customWidth="1"/>
    <col min="6" max="7" width="14" customWidth="1"/>
    <col min="8" max="9" width="12" customWidth="1"/>
    <col min="10" max="10" width="14" customWidth="1"/>
    <col min="11" max="11" width="15.77734375" bestFit="1" customWidth="1"/>
  </cols>
  <sheetData>
    <row r="1" spans="1:11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50</v>
      </c>
      <c r="E2" s="2">
        <v>2200</v>
      </c>
      <c r="F2" s="2">
        <v>2845.5</v>
      </c>
      <c r="G2" s="2">
        <f t="shared" ref="G2:G11" si="0">E2*F2</f>
        <v>6260100</v>
      </c>
      <c r="H2" s="2">
        <f t="shared" ref="H2:H11" si="1">(F2-E2)*D2</f>
        <v>32275</v>
      </c>
      <c r="I2" s="2">
        <f t="shared" ref="I2:I11" si="2">(F2-E2)/E2*100</f>
        <v>29.34090909090909</v>
      </c>
      <c r="J2" s="2" t="s">
        <v>14</v>
      </c>
      <c r="K2" s="2" t="s">
        <v>15</v>
      </c>
    </row>
    <row r="3" spans="1:11" x14ac:dyDescent="0.3">
      <c r="A3" s="3" t="s">
        <v>16</v>
      </c>
      <c r="B3" s="3" t="s">
        <v>16</v>
      </c>
      <c r="C3" s="3" t="s">
        <v>17</v>
      </c>
      <c r="D3" s="3">
        <v>30</v>
      </c>
      <c r="E3" s="3">
        <v>3100</v>
      </c>
      <c r="F3" s="3">
        <v>3520.75</v>
      </c>
      <c r="G3" s="3">
        <f t="shared" si="0"/>
        <v>10914325</v>
      </c>
      <c r="H3" s="3">
        <f t="shared" si="1"/>
        <v>12622.5</v>
      </c>
      <c r="I3" s="3">
        <f t="shared" si="2"/>
        <v>13.572580645161288</v>
      </c>
      <c r="J3" s="3" t="s">
        <v>18</v>
      </c>
      <c r="K3" s="3" t="s">
        <v>19</v>
      </c>
    </row>
    <row r="4" spans="1:11" x14ac:dyDescent="0.3">
      <c r="A4" s="2" t="s">
        <v>20</v>
      </c>
      <c r="B4" s="2" t="s">
        <v>21</v>
      </c>
      <c r="C4" s="2" t="s">
        <v>22</v>
      </c>
      <c r="D4" s="2">
        <v>80</v>
      </c>
      <c r="E4" s="2">
        <v>1450</v>
      </c>
      <c r="F4" s="2">
        <v>1612.3</v>
      </c>
      <c r="G4" s="2">
        <f t="shared" si="0"/>
        <v>2337835</v>
      </c>
      <c r="H4" s="2">
        <f t="shared" si="1"/>
        <v>12983.999999999996</v>
      </c>
      <c r="I4" s="2">
        <f t="shared" si="2"/>
        <v>11.19310344827586</v>
      </c>
      <c r="J4" s="2" t="s">
        <v>23</v>
      </c>
      <c r="K4" s="2" t="s">
        <v>15</v>
      </c>
    </row>
    <row r="5" spans="1:11" x14ac:dyDescent="0.3">
      <c r="A5" s="3" t="s">
        <v>24</v>
      </c>
      <c r="B5" s="3" t="s">
        <v>25</v>
      </c>
      <c r="C5" s="3" t="s">
        <v>17</v>
      </c>
      <c r="D5" s="3">
        <v>45</v>
      </c>
      <c r="E5" s="3">
        <v>1380</v>
      </c>
      <c r="F5" s="3">
        <v>1295.5999999999999</v>
      </c>
      <c r="G5" s="3">
        <f t="shared" si="0"/>
        <v>1787927.9999999998</v>
      </c>
      <c r="H5" s="3">
        <f t="shared" si="1"/>
        <v>-3798.0000000000041</v>
      </c>
      <c r="I5" s="3">
        <f t="shared" si="2"/>
        <v>-6.115942028985514</v>
      </c>
      <c r="J5" s="3" t="s">
        <v>26</v>
      </c>
      <c r="K5" s="3" t="s">
        <v>19</v>
      </c>
    </row>
    <row r="6" spans="1:11" x14ac:dyDescent="0.3">
      <c r="A6" s="2" t="s">
        <v>27</v>
      </c>
      <c r="B6" s="2" t="s">
        <v>28</v>
      </c>
      <c r="C6" s="2" t="s">
        <v>29</v>
      </c>
      <c r="D6" s="2">
        <v>25</v>
      </c>
      <c r="E6" s="2">
        <v>6800</v>
      </c>
      <c r="F6" s="2">
        <v>7240</v>
      </c>
      <c r="G6" s="2">
        <f t="shared" si="0"/>
        <v>49232000</v>
      </c>
      <c r="H6" s="2">
        <f t="shared" si="1"/>
        <v>11000</v>
      </c>
      <c r="I6" s="2">
        <f t="shared" si="2"/>
        <v>6.4705882352941186</v>
      </c>
      <c r="J6" s="2" t="s">
        <v>30</v>
      </c>
      <c r="K6" s="2" t="s">
        <v>15</v>
      </c>
    </row>
    <row r="7" spans="1:11" x14ac:dyDescent="0.3">
      <c r="A7" s="3" t="s">
        <v>31</v>
      </c>
      <c r="B7" s="3" t="s">
        <v>32</v>
      </c>
      <c r="C7" s="3" t="s">
        <v>17</v>
      </c>
      <c r="D7" s="3">
        <v>60</v>
      </c>
      <c r="E7" s="3">
        <v>420</v>
      </c>
      <c r="F7" s="3">
        <v>398.5</v>
      </c>
      <c r="G7" s="3">
        <f t="shared" si="0"/>
        <v>167370</v>
      </c>
      <c r="H7" s="3">
        <f t="shared" si="1"/>
        <v>-1290</v>
      </c>
      <c r="I7" s="3">
        <f t="shared" si="2"/>
        <v>-5.1190476190476186</v>
      </c>
      <c r="J7" s="3" t="s">
        <v>33</v>
      </c>
      <c r="K7" s="3" t="s">
        <v>34</v>
      </c>
    </row>
    <row r="8" spans="1:11" x14ac:dyDescent="0.3">
      <c r="A8" s="2" t="s">
        <v>35</v>
      </c>
      <c r="B8" s="2" t="s">
        <v>35</v>
      </c>
      <c r="C8" s="2" t="s">
        <v>36</v>
      </c>
      <c r="D8" s="2">
        <v>90</v>
      </c>
      <c r="E8" s="2">
        <v>340</v>
      </c>
      <c r="F8" s="2">
        <v>462.8</v>
      </c>
      <c r="G8" s="2">
        <f t="shared" si="0"/>
        <v>157352</v>
      </c>
      <c r="H8" s="2">
        <f t="shared" si="1"/>
        <v>11052.000000000002</v>
      </c>
      <c r="I8" s="2">
        <f t="shared" si="2"/>
        <v>36.117647058823529</v>
      </c>
      <c r="J8" s="2" t="s">
        <v>37</v>
      </c>
      <c r="K8" s="2" t="s">
        <v>15</v>
      </c>
    </row>
    <row r="9" spans="1:11" x14ac:dyDescent="0.3">
      <c r="A9" s="3" t="s">
        <v>38</v>
      </c>
      <c r="B9" s="3" t="s">
        <v>39</v>
      </c>
      <c r="C9" s="3" t="s">
        <v>40</v>
      </c>
      <c r="D9" s="3">
        <v>40</v>
      </c>
      <c r="E9" s="3">
        <v>520</v>
      </c>
      <c r="F9" s="3">
        <v>890.4</v>
      </c>
      <c r="G9" s="3">
        <f t="shared" si="0"/>
        <v>463008</v>
      </c>
      <c r="H9" s="3">
        <f t="shared" si="1"/>
        <v>14816</v>
      </c>
      <c r="I9" s="3">
        <f t="shared" si="2"/>
        <v>71.230769230769226</v>
      </c>
      <c r="J9" s="3" t="s">
        <v>41</v>
      </c>
      <c r="K9" s="3" t="s">
        <v>15</v>
      </c>
    </row>
    <row r="10" spans="1:11" x14ac:dyDescent="0.3">
      <c r="A10" s="2" t="s">
        <v>42</v>
      </c>
      <c r="B10" s="2" t="s">
        <v>43</v>
      </c>
      <c r="C10" s="2" t="s">
        <v>44</v>
      </c>
      <c r="D10" s="2">
        <v>20</v>
      </c>
      <c r="E10" s="2">
        <v>3200</v>
      </c>
      <c r="F10" s="2">
        <v>2945</v>
      </c>
      <c r="G10" s="2">
        <f t="shared" si="0"/>
        <v>9424000</v>
      </c>
      <c r="H10" s="2">
        <f t="shared" si="1"/>
        <v>-5100</v>
      </c>
      <c r="I10" s="2">
        <f t="shared" si="2"/>
        <v>-7.9687499999999991</v>
      </c>
      <c r="J10" s="2" t="s">
        <v>45</v>
      </c>
      <c r="K10" s="2" t="s">
        <v>19</v>
      </c>
    </row>
    <row r="11" spans="1:11" x14ac:dyDescent="0.3">
      <c r="A11" s="3" t="s">
        <v>46</v>
      </c>
      <c r="B11" s="3" t="s">
        <v>47</v>
      </c>
      <c r="C11" s="3" t="s">
        <v>44</v>
      </c>
      <c r="D11" s="3">
        <v>150</v>
      </c>
      <c r="E11" s="3">
        <v>62</v>
      </c>
      <c r="F11" s="3">
        <v>182.3</v>
      </c>
      <c r="G11" s="3">
        <f t="shared" si="0"/>
        <v>11302.6</v>
      </c>
      <c r="H11" s="3">
        <f t="shared" si="1"/>
        <v>18045</v>
      </c>
      <c r="I11" s="3">
        <f t="shared" si="2"/>
        <v>194.03225806451613</v>
      </c>
      <c r="J11" s="3" t="s">
        <v>48</v>
      </c>
      <c r="K11" s="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4.4" x14ac:dyDescent="0.3"/>
  <cols>
    <col min="1" max="1" width="12" customWidth="1"/>
    <col min="2" max="3" width="16" customWidth="1"/>
    <col min="4" max="4" width="14" customWidth="1"/>
    <col min="5" max="5" width="12" customWidth="1"/>
    <col min="6" max="7" width="10" customWidth="1"/>
    <col min="8" max="8" width="15" customWidth="1"/>
  </cols>
  <sheetData>
    <row r="1" spans="1:8" ht="22.05" customHeight="1" x14ac:dyDescent="0.3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</row>
    <row r="2" spans="1:8" x14ac:dyDescent="0.3">
      <c r="A2" s="5" t="s">
        <v>57</v>
      </c>
      <c r="B2" s="5" t="s">
        <v>58</v>
      </c>
      <c r="C2" s="5" t="s">
        <v>59</v>
      </c>
      <c r="D2" s="5">
        <v>18000</v>
      </c>
      <c r="E2" s="5">
        <v>18000</v>
      </c>
      <c r="F2" s="5">
        <f t="shared" ref="F2:F16" si="0">E2-D2</f>
        <v>0</v>
      </c>
      <c r="G2" s="5" t="s">
        <v>60</v>
      </c>
      <c r="H2" s="5" t="s">
        <v>61</v>
      </c>
    </row>
    <row r="3" spans="1:8" x14ac:dyDescent="0.3">
      <c r="A3" s="3" t="s">
        <v>57</v>
      </c>
      <c r="B3" s="3" t="s">
        <v>62</v>
      </c>
      <c r="C3" s="3" t="s">
        <v>63</v>
      </c>
      <c r="D3" s="3">
        <v>4200</v>
      </c>
      <c r="E3" s="3">
        <v>4000</v>
      </c>
      <c r="F3" s="3">
        <f t="shared" si="0"/>
        <v>-200</v>
      </c>
      <c r="G3" s="3" t="s">
        <v>60</v>
      </c>
      <c r="H3" s="3" t="s">
        <v>64</v>
      </c>
    </row>
    <row r="4" spans="1:8" x14ac:dyDescent="0.3">
      <c r="A4" s="5" t="s">
        <v>57</v>
      </c>
      <c r="B4" s="5" t="s">
        <v>62</v>
      </c>
      <c r="C4" s="5" t="s">
        <v>65</v>
      </c>
      <c r="D4" s="5">
        <v>2800</v>
      </c>
      <c r="E4" s="5">
        <v>2000</v>
      </c>
      <c r="F4" s="5">
        <f t="shared" si="0"/>
        <v>-800</v>
      </c>
      <c r="G4" s="5" t="s">
        <v>66</v>
      </c>
      <c r="H4" s="5" t="s">
        <v>67</v>
      </c>
    </row>
    <row r="5" spans="1:8" x14ac:dyDescent="0.3">
      <c r="A5" s="3" t="s">
        <v>57</v>
      </c>
      <c r="B5" s="3" t="s">
        <v>68</v>
      </c>
      <c r="C5" s="3" t="s">
        <v>69</v>
      </c>
      <c r="D5" s="3">
        <v>1800</v>
      </c>
      <c r="E5" s="3">
        <v>2000</v>
      </c>
      <c r="F5" s="3">
        <f t="shared" si="0"/>
        <v>200</v>
      </c>
      <c r="G5" s="3" t="s">
        <v>60</v>
      </c>
      <c r="H5" s="3" t="s">
        <v>70</v>
      </c>
    </row>
    <row r="6" spans="1:8" x14ac:dyDescent="0.3">
      <c r="A6" s="5" t="s">
        <v>57</v>
      </c>
      <c r="B6" s="5" t="s">
        <v>68</v>
      </c>
      <c r="C6" s="5" t="s">
        <v>71</v>
      </c>
      <c r="D6" s="5">
        <v>950</v>
      </c>
      <c r="E6" s="5">
        <v>1000</v>
      </c>
      <c r="F6" s="5">
        <f t="shared" si="0"/>
        <v>50</v>
      </c>
      <c r="G6" s="5" t="s">
        <v>66</v>
      </c>
      <c r="H6" s="5" t="s">
        <v>64</v>
      </c>
    </row>
    <row r="7" spans="1:8" x14ac:dyDescent="0.3">
      <c r="A7" s="3" t="s">
        <v>57</v>
      </c>
      <c r="B7" s="3" t="s">
        <v>72</v>
      </c>
      <c r="C7" s="3" t="s">
        <v>73</v>
      </c>
      <c r="D7" s="3">
        <v>850</v>
      </c>
      <c r="E7" s="3">
        <v>900</v>
      </c>
      <c r="F7" s="3">
        <f t="shared" si="0"/>
        <v>50</v>
      </c>
      <c r="G7" s="3" t="s">
        <v>60</v>
      </c>
      <c r="H7" s="3" t="s">
        <v>74</v>
      </c>
    </row>
    <row r="8" spans="1:8" x14ac:dyDescent="0.3">
      <c r="A8" s="5" t="s">
        <v>57</v>
      </c>
      <c r="B8" s="5" t="s">
        <v>75</v>
      </c>
      <c r="C8" s="5" t="s">
        <v>76</v>
      </c>
      <c r="D8" s="5">
        <v>650</v>
      </c>
      <c r="E8" s="5">
        <v>500</v>
      </c>
      <c r="F8" s="5">
        <f t="shared" si="0"/>
        <v>-150</v>
      </c>
      <c r="G8" s="5" t="s">
        <v>66</v>
      </c>
      <c r="H8" s="5" t="s">
        <v>67</v>
      </c>
    </row>
    <row r="9" spans="1:8" x14ac:dyDescent="0.3">
      <c r="A9" s="3" t="s">
        <v>77</v>
      </c>
      <c r="B9" s="3" t="s">
        <v>58</v>
      </c>
      <c r="C9" s="3" t="s">
        <v>59</v>
      </c>
      <c r="D9" s="3">
        <v>18000</v>
      </c>
      <c r="E9" s="3">
        <v>18000</v>
      </c>
      <c r="F9" s="3">
        <f t="shared" si="0"/>
        <v>0</v>
      </c>
      <c r="G9" s="3" t="s">
        <v>60</v>
      </c>
      <c r="H9" s="3" t="s">
        <v>61</v>
      </c>
    </row>
    <row r="10" spans="1:8" x14ac:dyDescent="0.3">
      <c r="A10" s="5" t="s">
        <v>77</v>
      </c>
      <c r="B10" s="5" t="s">
        <v>62</v>
      </c>
      <c r="C10" s="5" t="s">
        <v>63</v>
      </c>
      <c r="D10" s="5">
        <v>3900</v>
      </c>
      <c r="E10" s="5">
        <v>4000</v>
      </c>
      <c r="F10" s="5">
        <f t="shared" si="0"/>
        <v>100</v>
      </c>
      <c r="G10" s="5" t="s">
        <v>60</v>
      </c>
      <c r="H10" s="5" t="s">
        <v>64</v>
      </c>
    </row>
    <row r="11" spans="1:8" x14ac:dyDescent="0.3">
      <c r="A11" s="3" t="s">
        <v>77</v>
      </c>
      <c r="B11" s="3" t="s">
        <v>62</v>
      </c>
      <c r="C11" s="3" t="s">
        <v>65</v>
      </c>
      <c r="D11" s="3">
        <v>1600</v>
      </c>
      <c r="E11" s="3">
        <v>2000</v>
      </c>
      <c r="F11" s="3">
        <f t="shared" si="0"/>
        <v>400</v>
      </c>
      <c r="G11" s="3" t="s">
        <v>66</v>
      </c>
      <c r="H11" s="3" t="s">
        <v>67</v>
      </c>
    </row>
    <row r="12" spans="1:8" x14ac:dyDescent="0.3">
      <c r="A12" s="5" t="s">
        <v>77</v>
      </c>
      <c r="B12" s="5" t="s">
        <v>68</v>
      </c>
      <c r="C12" s="5" t="s">
        <v>69</v>
      </c>
      <c r="D12" s="5">
        <v>2100</v>
      </c>
      <c r="E12" s="5">
        <v>2000</v>
      </c>
      <c r="F12" s="5">
        <f t="shared" si="0"/>
        <v>-100</v>
      </c>
      <c r="G12" s="5" t="s">
        <v>60</v>
      </c>
      <c r="H12" s="5" t="s">
        <v>70</v>
      </c>
    </row>
    <row r="13" spans="1:8" x14ac:dyDescent="0.3">
      <c r="A13" s="3" t="s">
        <v>77</v>
      </c>
      <c r="B13" s="3" t="s">
        <v>72</v>
      </c>
      <c r="C13" s="3" t="s">
        <v>78</v>
      </c>
      <c r="D13" s="3">
        <v>799</v>
      </c>
      <c r="E13" s="3">
        <v>799</v>
      </c>
      <c r="F13" s="3">
        <f t="shared" si="0"/>
        <v>0</v>
      </c>
      <c r="G13" s="3" t="s">
        <v>60</v>
      </c>
      <c r="H13" s="3" t="s">
        <v>79</v>
      </c>
    </row>
    <row r="14" spans="1:8" x14ac:dyDescent="0.3">
      <c r="A14" s="5" t="s">
        <v>80</v>
      </c>
      <c r="B14" s="5" t="s">
        <v>58</v>
      </c>
      <c r="C14" s="5" t="s">
        <v>59</v>
      </c>
      <c r="D14" s="5">
        <v>18000</v>
      </c>
      <c r="E14" s="5">
        <v>18000</v>
      </c>
      <c r="F14" s="5">
        <f t="shared" si="0"/>
        <v>0</v>
      </c>
      <c r="G14" s="5" t="s">
        <v>60</v>
      </c>
      <c r="H14" s="5" t="s">
        <v>61</v>
      </c>
    </row>
    <row r="15" spans="1:8" x14ac:dyDescent="0.3">
      <c r="A15" s="3" t="s">
        <v>80</v>
      </c>
      <c r="B15" s="3" t="s">
        <v>62</v>
      </c>
      <c r="C15" s="3" t="s">
        <v>63</v>
      </c>
      <c r="D15" s="3">
        <v>4500</v>
      </c>
      <c r="E15" s="3">
        <v>4000</v>
      </c>
      <c r="F15" s="3">
        <f t="shared" si="0"/>
        <v>-500</v>
      </c>
      <c r="G15" s="3" t="s">
        <v>60</v>
      </c>
      <c r="H15" s="3" t="s">
        <v>64</v>
      </c>
    </row>
    <row r="16" spans="1:8" x14ac:dyDescent="0.3">
      <c r="A16" s="5" t="s">
        <v>80</v>
      </c>
      <c r="B16" s="5" t="s">
        <v>75</v>
      </c>
      <c r="C16" s="5" t="s">
        <v>81</v>
      </c>
      <c r="D16" s="5">
        <v>1200</v>
      </c>
      <c r="E16" s="5">
        <v>1000</v>
      </c>
      <c r="F16" s="5">
        <f t="shared" si="0"/>
        <v>-200</v>
      </c>
      <c r="G16" s="5" t="s">
        <v>66</v>
      </c>
      <c r="H16" s="5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selection activeCell="D10" sqref="D10"/>
    </sheetView>
  </sheetViews>
  <sheetFormatPr defaultRowHeight="14.4" x14ac:dyDescent="0.3"/>
  <cols>
    <col min="1" max="1" width="14" customWidth="1"/>
    <col min="2" max="2" width="8" customWidth="1"/>
    <col min="3" max="4" width="14" customWidth="1"/>
    <col min="5" max="5" width="16" customWidth="1"/>
    <col min="6" max="7" width="10" customWidth="1"/>
    <col min="8" max="8" width="16" customWidth="1"/>
    <col min="9" max="9" width="17.88671875" bestFit="1" customWidth="1"/>
    <col min="10" max="10" width="8" customWidth="1"/>
  </cols>
  <sheetData>
    <row r="1" spans="1:10" ht="22.05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  <c r="H1" s="6" t="s">
        <v>89</v>
      </c>
      <c r="I1" s="6" t="s">
        <v>90</v>
      </c>
      <c r="J1" s="6" t="s">
        <v>91</v>
      </c>
    </row>
    <row r="2" spans="1:10" x14ac:dyDescent="0.3">
      <c r="A2" s="7" t="s">
        <v>16</v>
      </c>
      <c r="B2" s="7" t="s">
        <v>92</v>
      </c>
      <c r="C2" s="7">
        <v>191754</v>
      </c>
      <c r="D2" s="7">
        <v>55521</v>
      </c>
      <c r="E2" s="7">
        <v>38327</v>
      </c>
      <c r="F2" s="7">
        <v>103.62</v>
      </c>
      <c r="G2" s="7">
        <v>28.5</v>
      </c>
      <c r="H2" s="7">
        <v>1325000</v>
      </c>
      <c r="I2" s="7">
        <v>1.2</v>
      </c>
      <c r="J2" s="7">
        <v>43.5</v>
      </c>
    </row>
    <row r="3" spans="1:10" x14ac:dyDescent="0.3">
      <c r="A3" s="3" t="s">
        <v>16</v>
      </c>
      <c r="B3" s="3" t="s">
        <v>93</v>
      </c>
      <c r="C3" s="3">
        <v>225458</v>
      </c>
      <c r="D3" s="3">
        <v>60748</v>
      </c>
      <c r="E3" s="3">
        <v>42303</v>
      </c>
      <c r="F3" s="3">
        <v>114.38</v>
      </c>
      <c r="G3" s="3">
        <v>24.2</v>
      </c>
      <c r="H3" s="3">
        <v>1189000</v>
      </c>
      <c r="I3" s="3">
        <v>1.8</v>
      </c>
      <c r="J3" s="3">
        <v>45.2</v>
      </c>
    </row>
    <row r="4" spans="1:10" x14ac:dyDescent="0.3">
      <c r="A4" s="7" t="s">
        <v>16</v>
      </c>
      <c r="B4" s="7" t="s">
        <v>94</v>
      </c>
      <c r="C4" s="7">
        <v>240893</v>
      </c>
      <c r="D4" s="7">
        <v>64560</v>
      </c>
      <c r="E4" s="7">
        <v>45908</v>
      </c>
      <c r="F4" s="7">
        <v>124.65</v>
      </c>
      <c r="G4" s="7">
        <v>26.8</v>
      </c>
      <c r="H4" s="7">
        <v>1421000</v>
      </c>
      <c r="I4" s="7">
        <v>1.9</v>
      </c>
      <c r="J4" s="7">
        <v>46.1</v>
      </c>
    </row>
    <row r="5" spans="1:10" x14ac:dyDescent="0.3">
      <c r="A5" s="3" t="s">
        <v>24</v>
      </c>
      <c r="B5" s="3" t="s">
        <v>92</v>
      </c>
      <c r="C5" s="3">
        <v>121641</v>
      </c>
      <c r="D5" s="3">
        <v>33016</v>
      </c>
      <c r="E5" s="3">
        <v>22110</v>
      </c>
      <c r="F5" s="3">
        <v>52.52</v>
      </c>
      <c r="G5" s="3">
        <v>26.4</v>
      </c>
      <c r="H5" s="3">
        <v>584000</v>
      </c>
      <c r="I5" s="3">
        <v>2.5</v>
      </c>
      <c r="J5" s="3">
        <v>28.9</v>
      </c>
    </row>
    <row r="6" spans="1:10" x14ac:dyDescent="0.3">
      <c r="A6" s="7" t="s">
        <v>24</v>
      </c>
      <c r="B6" s="7" t="s">
        <v>93</v>
      </c>
      <c r="C6" s="7">
        <v>146767</v>
      </c>
      <c r="D6" s="7">
        <v>38217</v>
      </c>
      <c r="E6" s="7">
        <v>24095</v>
      </c>
      <c r="F6" s="7">
        <v>57.36</v>
      </c>
      <c r="G6" s="7">
        <v>22.8</v>
      </c>
      <c r="H6" s="7">
        <v>581000</v>
      </c>
      <c r="I6" s="7">
        <v>2.7</v>
      </c>
      <c r="J6" s="7">
        <v>30.1</v>
      </c>
    </row>
    <row r="7" spans="1:10" x14ac:dyDescent="0.3">
      <c r="A7" s="3" t="s">
        <v>24</v>
      </c>
      <c r="B7" s="3" t="s">
        <v>94</v>
      </c>
      <c r="C7" s="3">
        <v>153670</v>
      </c>
      <c r="D7" s="3">
        <v>40234</v>
      </c>
      <c r="E7" s="3">
        <v>26248</v>
      </c>
      <c r="F7" s="3">
        <v>62.44</v>
      </c>
      <c r="G7" s="3">
        <v>24.5</v>
      </c>
      <c r="H7" s="3">
        <v>640000</v>
      </c>
      <c r="I7" s="3">
        <v>2.9</v>
      </c>
      <c r="J7" s="3">
        <v>31.2</v>
      </c>
    </row>
    <row r="8" spans="1:10" x14ac:dyDescent="0.3">
      <c r="A8" s="7" t="s">
        <v>20</v>
      </c>
      <c r="B8" s="7" t="s">
        <v>92</v>
      </c>
      <c r="C8" s="7">
        <v>147069</v>
      </c>
      <c r="D8" s="7"/>
      <c r="E8" s="7">
        <v>36961</v>
      </c>
      <c r="F8" s="7">
        <v>65.84</v>
      </c>
      <c r="G8" s="7">
        <v>19.2</v>
      </c>
      <c r="H8" s="7">
        <v>832000</v>
      </c>
      <c r="I8" s="7">
        <v>1</v>
      </c>
      <c r="J8" s="7">
        <v>16.8</v>
      </c>
    </row>
    <row r="9" spans="1:10" x14ac:dyDescent="0.3">
      <c r="A9" s="3" t="s">
        <v>20</v>
      </c>
      <c r="B9" s="3" t="s">
        <v>93</v>
      </c>
      <c r="C9" s="3">
        <v>184197</v>
      </c>
      <c r="D9" s="3"/>
      <c r="E9" s="3">
        <v>44109</v>
      </c>
      <c r="F9" s="3">
        <v>78.31</v>
      </c>
      <c r="G9" s="3">
        <v>21.3</v>
      </c>
      <c r="H9" s="3">
        <v>931000</v>
      </c>
      <c r="I9" s="3">
        <v>1.1000000000000001</v>
      </c>
      <c r="J9" s="3">
        <v>17.899999999999999</v>
      </c>
    </row>
    <row r="10" spans="1:10" x14ac:dyDescent="0.3">
      <c r="A10" s="7" t="s">
        <v>20</v>
      </c>
      <c r="B10" s="7" t="s">
        <v>94</v>
      </c>
      <c r="C10" s="7">
        <v>212000</v>
      </c>
      <c r="D10" s="7"/>
      <c r="E10" s="7">
        <v>60812</v>
      </c>
      <c r="F10" s="7">
        <v>80.099999999999994</v>
      </c>
      <c r="G10" s="7">
        <v>18.5</v>
      </c>
      <c r="H10" s="7">
        <v>1120000</v>
      </c>
      <c r="I10" s="7">
        <v>1.3</v>
      </c>
      <c r="J10" s="7">
        <v>18.2</v>
      </c>
    </row>
    <row r="11" spans="1:10" x14ac:dyDescent="0.3">
      <c r="A11" s="3" t="s">
        <v>95</v>
      </c>
      <c r="B11" s="3" t="s">
        <v>92</v>
      </c>
      <c r="C11" s="3">
        <v>792756</v>
      </c>
      <c r="D11" s="3">
        <v>131972</v>
      </c>
      <c r="E11" s="3">
        <v>67845</v>
      </c>
      <c r="F11" s="3">
        <v>100.45</v>
      </c>
      <c r="G11" s="3">
        <v>21.5</v>
      </c>
      <c r="H11" s="3">
        <v>1550000</v>
      </c>
      <c r="I11" s="3">
        <v>0.35</v>
      </c>
      <c r="J11" s="3">
        <v>10.1</v>
      </c>
    </row>
    <row r="12" spans="1:10" x14ac:dyDescent="0.3">
      <c r="A12" s="7" t="s">
        <v>95</v>
      </c>
      <c r="B12" s="7" t="s">
        <v>93</v>
      </c>
      <c r="C12" s="7">
        <v>897128</v>
      </c>
      <c r="D12" s="7">
        <v>147207</v>
      </c>
      <c r="E12" s="7">
        <v>73670</v>
      </c>
      <c r="F12" s="7">
        <v>109.1</v>
      </c>
      <c r="G12" s="7">
        <v>18.899999999999999</v>
      </c>
      <c r="H12" s="7">
        <v>1620000</v>
      </c>
      <c r="I12" s="7">
        <v>0.4</v>
      </c>
      <c r="J12" s="7">
        <v>10.8</v>
      </c>
    </row>
    <row r="13" spans="1:10" x14ac:dyDescent="0.3">
      <c r="A13" s="3" t="s">
        <v>95</v>
      </c>
      <c r="B13" s="3" t="s">
        <v>94</v>
      </c>
      <c r="C13" s="3">
        <v>918000</v>
      </c>
      <c r="D13" s="3">
        <v>163000</v>
      </c>
      <c r="E13" s="3">
        <v>79000</v>
      </c>
      <c r="F13" s="3">
        <v>116.8</v>
      </c>
      <c r="G13" s="3">
        <v>22.1</v>
      </c>
      <c r="H13" s="3">
        <v>1980000</v>
      </c>
      <c r="I13" s="3">
        <v>0.42</v>
      </c>
      <c r="J13" s="3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Stock_Portfolio</vt:lpstr>
      <vt:lpstr>Monthly_Expenses</vt:lpstr>
      <vt:lpstr>Company_Financials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Pratap Singh</cp:lastModifiedBy>
  <dcterms:created xsi:type="dcterms:W3CDTF">2026-05-03T11:44:43Z</dcterms:created>
  <dcterms:modified xsi:type="dcterms:W3CDTF">2026-05-03T14:55:08Z</dcterms:modified>
</cp:coreProperties>
</file>